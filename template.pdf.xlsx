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RESSOURCES HUMAINES\26 - Courrier Attestation Formulaire\Formulaires RH\Framatome FIT\"/>
    </mc:Choice>
  </mc:AlternateContent>
  <xr:revisionPtr revIDLastSave="0" documentId="13_ncr:1_{E378E5CC-E46F-47DE-906D-7F4CC9762458}" xr6:coauthVersionLast="47" xr6:coauthVersionMax="47" xr10:uidLastSave="{00000000-0000-0000-0000-000000000000}"/>
  <bookViews>
    <workbookView xWindow="31420" yWindow="1990" windowWidth="21600" windowHeight="11410" xr2:uid="{00000000-000D-0000-FFFF-FFFF00000000}"/>
  </bookViews>
  <sheets>
    <sheet name="FRF_GEF" sheetId="3" r:id="rId1"/>
    <sheet name="Liste" sheetId="2" r:id="rId2"/>
  </sheets>
  <definedNames>
    <definedName name="_xlnm.Print_Area" localSheetId="0">FRF_GEF!$A$1:$J$48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3" l="1"/>
  <c r="J19" i="3"/>
  <c r="J18" i="3"/>
  <c r="J17" i="3"/>
  <c r="J16" i="3"/>
  <c r="J14" i="3"/>
  <c r="J22" i="3"/>
  <c r="J23" i="3"/>
  <c r="J24" i="3"/>
  <c r="J15" i="3"/>
  <c r="J21" i="3"/>
  <c r="J26" i="3" l="1"/>
  <c r="H38" i="3"/>
  <c r="G38" i="3"/>
  <c r="I26" i="3"/>
  <c r="H26" i="3"/>
  <c r="G26" i="3"/>
  <c r="J36" i="3"/>
  <c r="J35" i="3"/>
  <c r="J34" i="3"/>
  <c r="J33" i="3"/>
  <c r="J32" i="3"/>
  <c r="J31" i="3"/>
  <c r="J30" i="3"/>
  <c r="J29" i="3"/>
  <c r="J37" i="3"/>
  <c r="J10" i="3"/>
  <c r="J11" i="3" s="1"/>
  <c r="J38" i="3" l="1"/>
  <c r="E42" i="3" s="1"/>
  <c r="E46" i="3" s="1"/>
</calcChain>
</file>

<file path=xl/sharedStrings.xml><?xml version="1.0" encoding="utf-8"?>
<sst xmlns="http://schemas.openxmlformats.org/spreadsheetml/2006/main" count="67" uniqueCount="58">
  <si>
    <t>MONTANT</t>
  </si>
  <si>
    <t>NOM :</t>
  </si>
  <si>
    <t>Prénom :</t>
  </si>
  <si>
    <t>PU KM :</t>
  </si>
  <si>
    <t>AUCUN REMBOURSEMENT NE POURRA AVOIR LIEU SANS JUSTIFICATIF</t>
  </si>
  <si>
    <t>Mois /
année :</t>
  </si>
  <si>
    <t>La Direction</t>
  </si>
  <si>
    <t>Nbre de KM</t>
  </si>
  <si>
    <t>Nature du déplacement professionnel</t>
  </si>
  <si>
    <t>Date</t>
  </si>
  <si>
    <t>TOTAL 1</t>
  </si>
  <si>
    <t>TOTAL 2</t>
  </si>
  <si>
    <t>Visa</t>
  </si>
  <si>
    <t>JUSTIFICATIF KILOMÉTRIQUE I.F.P.</t>
  </si>
  <si>
    <t>TVA</t>
  </si>
  <si>
    <t>NOM DES ENSEIGNES</t>
  </si>
  <si>
    <t>Noms des Sociétés</t>
  </si>
  <si>
    <t>ERGO</t>
  </si>
  <si>
    <t>Groupe EFINOR</t>
  </si>
  <si>
    <t>EURIDIS Ingénierie</t>
  </si>
  <si>
    <t>EURIDIS SUD OUEST</t>
  </si>
  <si>
    <t>EURIDIS AZUR</t>
  </si>
  <si>
    <t>EURIDIS BRETAGNE</t>
  </si>
  <si>
    <t>EURIDIS IDF</t>
  </si>
  <si>
    <t>EURELEC</t>
  </si>
  <si>
    <t>NORMETAL</t>
  </si>
  <si>
    <t>SEMA</t>
  </si>
  <si>
    <t>MOUTEAU NICOLLE</t>
  </si>
  <si>
    <t>SEMA INDUSTRIES</t>
  </si>
  <si>
    <t>EFINOR MARINE</t>
  </si>
  <si>
    <t>EFINOR SERVICES</t>
  </si>
  <si>
    <t>N° Affaire</t>
  </si>
  <si>
    <t>Lieu Départ</t>
  </si>
  <si>
    <t>Lieu Arrivée</t>
  </si>
  <si>
    <t>AVANCE RECUE</t>
  </si>
  <si>
    <t>MONTANT A REMBOURSER</t>
  </si>
  <si>
    <t>Le Salarié</t>
  </si>
  <si>
    <t>CERTIFIE EXACT, signatures</t>
  </si>
  <si>
    <t xml:space="preserve"> Montant TTC</t>
  </si>
  <si>
    <t>Achats divers 
Montant HT</t>
  </si>
  <si>
    <t>Mission/réception Montant HT</t>
  </si>
  <si>
    <t>N° Immatriculation véhicule :</t>
  </si>
  <si>
    <t xml:space="preserve">N° Chrono :
</t>
  </si>
  <si>
    <t>FRAIS SUR FACTURE - DEVISE EUROS</t>
  </si>
  <si>
    <t>FRAIS SUR FACTURE - DEVISE HORS EU</t>
  </si>
  <si>
    <t>Affaires</t>
  </si>
  <si>
    <t>Taux Conversion
Dev --&gt; Eur</t>
  </si>
  <si>
    <t>Achats en Devises</t>
  </si>
  <si>
    <t xml:space="preserve"> Montant Eur TTC</t>
  </si>
  <si>
    <t>DEVISE:</t>
  </si>
  <si>
    <t>£</t>
  </si>
  <si>
    <t>TOTAL 3</t>
  </si>
  <si>
    <t>TOTAL GENERAL 1 + 2 + 3</t>
  </si>
  <si>
    <t>Feuille</t>
  </si>
  <si>
    <t>Mission/Reception
Devises</t>
  </si>
  <si>
    <t xml:space="preserve">FICHE REMBOURSEMENT FRAIS   </t>
  </si>
  <si>
    <t>Framatome FIT</t>
  </si>
  <si>
    <r>
      <rPr>
        <b/>
        <sz val="12"/>
        <color rgb="FF000000"/>
        <rFont val="Arial"/>
        <family val="2"/>
      </rPr>
      <t xml:space="preserve">Semaine : </t>
    </r>
    <r>
      <rPr>
        <sz val="10"/>
        <color indexed="8"/>
        <rFont val="Arial"/>
        <family val="2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</si>
</sst>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#,##0.0000\ &quot;€&quot;"/>
    <numFmt numFmtId="166" formatCode="_-[$£-809]* #,##0.00_-;\-[$£-809]* #,##0.00_-;_-[$£-809]* &quot;-&quot;??_-;_-@_-"/>
  </numFmts>
  <fonts count="27" x14ac:knownFonts="1">
    <font>
      <sz val="12"/>
      <color theme="1"/>
      <name val="Calibri"/>
      <family val="2"/>
      <scheme val="minor"/>
    </font>
    <font>
      <i/>
      <sz val="12"/>
      <name val="Arial"/>
      <family val="2"/>
    </font>
    <font>
      <b/>
      <sz val="16"/>
      <color indexed="8"/>
      <name val="Arial"/>
      <family val="2"/>
    </font>
    <font>
      <b/>
      <i/>
      <sz val="18"/>
      <name val="Arial"/>
      <family val="2"/>
    </font>
    <font>
      <sz val="10"/>
      <color indexed="8"/>
      <name val="Arial"/>
      <family val="2"/>
    </font>
    <font>
      <b/>
      <i/>
      <sz val="16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color indexed="10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9"/>
      <color indexed="8"/>
      <name val="Arial"/>
      <family val="2"/>
    </font>
    <font>
      <b/>
      <sz val="11"/>
      <color indexed="8"/>
      <name val="Arial"/>
      <family val="2"/>
    </font>
    <font>
      <b/>
      <i/>
      <sz val="11"/>
      <color indexed="8"/>
      <name val="Arial"/>
      <family val="2"/>
    </font>
    <font>
      <b/>
      <sz val="11"/>
      <color rgb="FF7030A0"/>
      <name val="Arial"/>
      <family val="2"/>
    </font>
    <font>
      <b/>
      <sz val="14"/>
      <color rgb="FF7030A0"/>
      <name val="Arial"/>
      <family val="2"/>
    </font>
    <font>
      <b/>
      <i/>
      <sz val="11"/>
      <color rgb="FF0000FF"/>
      <name val="Arial"/>
      <family val="2"/>
    </font>
    <font>
      <b/>
      <i/>
      <sz val="11"/>
      <color rgb="FF0000FF"/>
      <name val="Calibri"/>
      <family val="2"/>
      <scheme val="minor"/>
    </font>
    <font>
      <b/>
      <sz val="16"/>
      <color rgb="FF0000FF"/>
      <name val="Arial"/>
      <family val="2"/>
    </font>
    <font>
      <b/>
      <sz val="11"/>
      <color rgb="FF0000FF"/>
      <name val="Arial"/>
      <family val="2"/>
    </font>
    <font>
      <b/>
      <i/>
      <sz val="12"/>
      <color rgb="FF0000FF"/>
      <name val="Arial"/>
      <family val="2"/>
    </font>
    <font>
      <b/>
      <sz val="8"/>
      <color indexed="8"/>
      <name val="Arial"/>
      <family val="2"/>
    </font>
    <font>
      <sz val="8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183">
    <xf numFmtId="0" fontId="0" fillId="0" borderId="0" xfId="0"/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4" xfId="0" applyFont="1" applyBorder="1" applyAlignment="1"/>
    <xf numFmtId="0" fontId="4" fillId="0" borderId="14" xfId="0" applyFont="1" applyBorder="1"/>
    <xf numFmtId="0" fontId="4" fillId="0" borderId="15" xfId="0" applyFont="1" applyBorder="1"/>
    <xf numFmtId="165" fontId="4" fillId="0" borderId="0" xfId="0" applyNumberFormat="1" applyFont="1"/>
    <xf numFmtId="0" fontId="4" fillId="0" borderId="12" xfId="0" applyFont="1" applyBorder="1" applyAlignment="1">
      <alignment vertical="center"/>
    </xf>
    <xf numFmtId="14" fontId="4" fillId="0" borderId="11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166" fontId="4" fillId="0" borderId="12" xfId="0" applyNumberFormat="1" applyFont="1" applyBorder="1" applyAlignment="1">
      <alignment vertical="center"/>
    </xf>
    <xf numFmtId="166" fontId="18" fillId="0" borderId="21" xfId="0" applyNumberFormat="1" applyFont="1" applyBorder="1" applyAlignment="1">
      <alignment vertical="center"/>
    </xf>
    <xf numFmtId="164" fontId="18" fillId="3" borderId="21" xfId="0" applyNumberFormat="1" applyFont="1" applyFill="1" applyBorder="1" applyAlignment="1">
      <alignment vertical="center"/>
    </xf>
    <xf numFmtId="164" fontId="18" fillId="0" borderId="22" xfId="0" applyNumberFormat="1" applyFont="1" applyBorder="1" applyAlignment="1">
      <alignment vertical="center"/>
    </xf>
    <xf numFmtId="164" fontId="18" fillId="0" borderId="21" xfId="0" applyNumberFormat="1" applyFont="1" applyBorder="1" applyAlignment="1">
      <alignment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2" borderId="23" xfId="0" applyFont="1" applyFill="1" applyBorder="1" applyAlignment="1">
      <alignment horizontal="left" vertical="center"/>
    </xf>
    <xf numFmtId="8" fontId="6" fillId="2" borderId="25" xfId="0" applyNumberFormat="1" applyFont="1" applyFill="1" applyBorder="1" applyAlignment="1">
      <alignment horizontal="center" vertical="center"/>
    </xf>
    <xf numFmtId="164" fontId="4" fillId="0" borderId="29" xfId="0" applyNumberFormat="1" applyFont="1" applyBorder="1" applyAlignment="1">
      <alignment vertical="center"/>
    </xf>
    <xf numFmtId="0" fontId="4" fillId="0" borderId="30" xfId="0" applyFont="1" applyBorder="1"/>
    <xf numFmtId="0" fontId="4" fillId="0" borderId="31" xfId="0" applyFont="1" applyBorder="1"/>
    <xf numFmtId="0" fontId="4" fillId="0" borderId="33" xfId="0" applyFont="1" applyBorder="1" applyAlignment="1"/>
    <xf numFmtId="164" fontId="4" fillId="0" borderId="34" xfId="0" applyNumberFormat="1" applyFont="1" applyBorder="1"/>
    <xf numFmtId="0" fontId="16" fillId="2" borderId="24" xfId="0" applyFont="1" applyFill="1" applyBorder="1" applyAlignment="1">
      <alignment horizontal="right" vertical="center"/>
    </xf>
    <xf numFmtId="0" fontId="17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vertical="center"/>
    </xf>
    <xf numFmtId="166" fontId="4" fillId="0" borderId="33" xfId="0" applyNumberFormat="1" applyFont="1" applyBorder="1" applyAlignment="1"/>
    <xf numFmtId="14" fontId="22" fillId="0" borderId="15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23" fillId="0" borderId="13" xfId="0" applyFont="1" applyBorder="1" applyAlignment="1">
      <alignment horizontal="center" textRotation="90"/>
    </xf>
    <xf numFmtId="0" fontId="4" fillId="0" borderId="3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39" xfId="0" applyFont="1" applyBorder="1"/>
    <xf numFmtId="0" fontId="4" fillId="0" borderId="40" xfId="0" applyFont="1" applyBorder="1"/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/>
    <xf numFmtId="0" fontId="4" fillId="0" borderId="42" xfId="0" applyFont="1" applyBorder="1"/>
    <xf numFmtId="0" fontId="4" fillId="0" borderId="43" xfId="0" applyFont="1" applyBorder="1"/>
    <xf numFmtId="0" fontId="23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14" fontId="4" fillId="0" borderId="45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44" fontId="4" fillId="0" borderId="48" xfId="1" applyFont="1" applyBorder="1" applyAlignment="1">
      <alignment vertical="center"/>
    </xf>
    <xf numFmtId="44" fontId="4" fillId="0" borderId="49" xfId="1" applyFont="1" applyBorder="1" applyAlignment="1">
      <alignment vertical="center"/>
    </xf>
    <xf numFmtId="0" fontId="4" fillId="0" borderId="50" xfId="0" applyFont="1" applyBorder="1" applyAlignment="1">
      <alignment horizontal="center" vertical="center"/>
    </xf>
    <xf numFmtId="14" fontId="4" fillId="0" borderId="51" xfId="0" applyNumberFormat="1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44" fontId="4" fillId="0" borderId="54" xfId="1" applyFont="1" applyBorder="1" applyAlignment="1">
      <alignment vertical="center"/>
    </xf>
    <xf numFmtId="44" fontId="4" fillId="0" borderId="55" xfId="1" applyFont="1" applyBorder="1" applyAlignment="1">
      <alignment vertical="center"/>
    </xf>
    <xf numFmtId="0" fontId="0" fillId="0" borderId="39" xfId="0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46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6" fillId="2" borderId="24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14" fontId="4" fillId="0" borderId="11" xfId="0" applyNumberFormat="1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14" fillId="0" borderId="60" xfId="0" applyFont="1" applyBorder="1" applyAlignment="1">
      <alignment horizontal="center" vertical="center"/>
    </xf>
    <xf numFmtId="17" fontId="20" fillId="0" borderId="61" xfId="0" applyNumberFormat="1" applyFont="1" applyBorder="1" applyAlignment="1">
      <alignment horizontal="center" vertical="center"/>
    </xf>
    <xf numFmtId="0" fontId="9" fillId="0" borderId="40" xfId="0" applyFont="1" applyBorder="1" applyAlignment="1"/>
    <xf numFmtId="0" fontId="25" fillId="0" borderId="0" xfId="0" applyFont="1" applyAlignment="1">
      <alignment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6" fillId="2" borderId="23" xfId="0" applyFont="1" applyFill="1" applyBorder="1" applyAlignment="1">
      <alignment horizontal="right" vertical="center"/>
    </xf>
    <xf numFmtId="0" fontId="6" fillId="2" borderId="24" xfId="0" applyFont="1" applyFill="1" applyBorder="1" applyAlignment="1">
      <alignment horizontal="right" vertical="center"/>
    </xf>
    <xf numFmtId="0" fontId="18" fillId="0" borderId="20" xfId="0" applyFont="1" applyBorder="1" applyAlignment="1">
      <alignment horizontal="right" vertical="center"/>
    </xf>
    <xf numFmtId="0" fontId="18" fillId="0" borderId="21" xfId="0" applyFont="1" applyBorder="1" applyAlignment="1">
      <alignment horizontal="right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6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15" fillId="0" borderId="6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164" fontId="21" fillId="0" borderId="1" xfId="0" applyNumberFormat="1" applyFont="1" applyFill="1" applyBorder="1" applyAlignment="1">
      <alignment horizontal="center" vertical="center"/>
    </xf>
    <xf numFmtId="164" fontId="21" fillId="0" borderId="17" xfId="0" applyNumberFormat="1" applyFont="1" applyFill="1" applyBorder="1" applyAlignment="1">
      <alignment horizontal="center" vertical="center"/>
    </xf>
    <xf numFmtId="164" fontId="21" fillId="0" borderId="14" xfId="0" applyNumberFormat="1" applyFont="1" applyFill="1" applyBorder="1" applyAlignment="1">
      <alignment horizontal="center" vertical="center"/>
    </xf>
    <xf numFmtId="164" fontId="21" fillId="0" borderId="15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4" fontId="6" fillId="0" borderId="17" xfId="0" applyNumberFormat="1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164" fontId="21" fillId="0" borderId="65" xfId="0" applyNumberFormat="1" applyFont="1" applyFill="1" applyBorder="1" applyAlignment="1">
      <alignment horizontal="center" vertical="center"/>
    </xf>
    <xf numFmtId="164" fontId="21" fillId="0" borderId="64" xfId="0" applyNumberFormat="1" applyFont="1" applyFill="1" applyBorder="1" applyAlignment="1">
      <alignment horizontal="center" vertical="center"/>
    </xf>
    <xf numFmtId="0" fontId="15" fillId="0" borderId="39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164" fontId="21" fillId="0" borderId="0" xfId="0" applyNumberFormat="1" applyFont="1" applyFill="1" applyBorder="1" applyAlignment="1">
      <alignment horizontal="center" vertical="center"/>
    </xf>
    <xf numFmtId="164" fontId="21" fillId="0" borderId="6" xfId="0" applyNumberFormat="1" applyFont="1" applyFill="1" applyBorder="1" applyAlignment="1">
      <alignment horizontal="center" vertical="center"/>
    </xf>
    <xf numFmtId="164" fontId="21" fillId="0" borderId="7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19" fillId="0" borderId="21" xfId="0" applyFont="1" applyBorder="1" applyAlignment="1">
      <alignment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" fillId="0" borderId="57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top" wrapText="1"/>
    </xf>
    <xf numFmtId="0" fontId="5" fillId="0" borderId="59" xfId="0" applyFont="1" applyBorder="1" applyAlignment="1">
      <alignment horizontal="center" vertical="top"/>
    </xf>
    <xf numFmtId="0" fontId="20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colors>
    <mruColors>
      <color rgb="FF09357A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819150</xdr:colOff>
      <xdr:row>4</xdr:row>
      <xdr:rowOff>228600</xdr:rowOff>
    </xdr:from>
    <xdr:to>
      <xdr:col>9</xdr:col>
      <xdr:colOff>1219200</xdr:colOff>
      <xdr:row>4</xdr:row>
      <xdr:rowOff>228600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EFA2E652-B334-4C57-AAF2-DE30A3AD1AE7}"/>
            </a:ext>
          </a:extLst>
        </xdr:cNvPr>
        <xdr:cNvCxnSpPr/>
      </xdr:nvCxnSpPr>
      <xdr:spPr>
        <a:xfrm>
          <a:off x="7429500" y="1800225"/>
          <a:ext cx="1400175" cy="0"/>
        </a:xfrm>
        <a:prstGeom prst="line">
          <a:avLst/>
        </a:prstGeom>
        <a:ln>
          <a:solidFill>
            <a:sysClr val="windowText" lastClr="00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647700</xdr:colOff>
      <xdr:row>4</xdr:row>
      <xdr:rowOff>228600</xdr:rowOff>
    </xdr:from>
    <xdr:to>
      <xdr:col>7</xdr:col>
      <xdr:colOff>933450</xdr:colOff>
      <xdr:row>4</xdr:row>
      <xdr:rowOff>228600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B4EC9071-782C-48FB-AAC3-B6580DD9D900}"/>
            </a:ext>
          </a:extLst>
        </xdr:cNvPr>
        <xdr:cNvCxnSpPr/>
      </xdr:nvCxnSpPr>
      <xdr:spPr>
        <a:xfrm>
          <a:off x="5029200" y="1800225"/>
          <a:ext cx="1400175" cy="0"/>
        </a:xfrm>
        <a:prstGeom prst="line">
          <a:avLst/>
        </a:prstGeom>
        <a:ln>
          <a:solidFill>
            <a:sysClr val="windowText" lastClr="00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71120</xdr:colOff>
      <xdr:row>1</xdr:row>
      <xdr:rowOff>87207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6A509B4-0354-C47D-39F0-10C6AD07B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6120" cy="605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7"/>
  <sheetViews>
    <sheetView tabSelected="1" zoomScale="120" zoomScaleNormal="120" zoomScalePageLayoutView="115" workbookViewId="0">
      <selection activeCell="L6" sqref="L6"/>
    </sheetView>
  </sheetViews>
  <sheetFormatPr baseColWidth="10" defaultColWidth="11" defaultRowHeight="12.5" x14ac:dyDescent="0.25"/>
  <cols>
    <col min="1" max="1" width="10.33203125" style="5" customWidth="1"/>
    <col min="2" max="2" width="11.33203125" style="5" customWidth="1"/>
    <col min="3" max="3" width="3.33203125" style="5" customWidth="1"/>
    <col min="4" max="4" width="7.58203125" style="5" customWidth="1"/>
    <col min="5" max="5" width="6.25" style="5" bestFit="1" customWidth="1"/>
    <col min="6" max="6" width="20.25" style="5" customWidth="1"/>
    <col min="7" max="7" width="14.58203125" style="5" customWidth="1"/>
    <col min="8" max="8" width="15.83203125" style="5" customWidth="1"/>
    <col min="9" max="9" width="14.25" style="5" customWidth="1"/>
    <col min="10" max="10" width="16.08203125" style="5" customWidth="1"/>
    <col min="11" max="14" width="9" style="5" customWidth="1"/>
    <col min="15" max="15" width="7.83203125" style="5" customWidth="1"/>
    <col min="16" max="251" width="9" style="5" customWidth="1"/>
    <col min="252" max="16384" width="11" style="5"/>
  </cols>
  <sheetData>
    <row r="1" spans="1:16" ht="41.25" customHeight="1" x14ac:dyDescent="0.25">
      <c r="A1" s="83"/>
      <c r="B1" s="78"/>
      <c r="C1" s="78"/>
      <c r="D1" s="78"/>
      <c r="E1" s="175" t="s">
        <v>55</v>
      </c>
      <c r="F1" s="175"/>
      <c r="G1" s="175"/>
      <c r="H1" s="176"/>
      <c r="I1" s="170" t="s">
        <v>56</v>
      </c>
      <c r="J1" s="171"/>
      <c r="M1" s="84"/>
      <c r="N1" s="85"/>
      <c r="O1" s="85"/>
      <c r="P1" s="86"/>
    </row>
    <row r="2" spans="1:16" ht="45" customHeight="1" x14ac:dyDescent="0.35">
      <c r="A2" s="79"/>
      <c r="B2" s="83" t="s">
        <v>56</v>
      </c>
      <c r="C2" s="77"/>
      <c r="D2" s="77"/>
      <c r="E2" s="177"/>
      <c r="F2" s="177"/>
      <c r="G2" s="177"/>
      <c r="H2" s="178"/>
      <c r="I2" s="172" t="s">
        <v>42</v>
      </c>
      <c r="J2" s="173"/>
      <c r="M2" s="64"/>
      <c r="N2" s="65"/>
      <c r="O2" s="65"/>
      <c r="P2" s="46"/>
    </row>
    <row r="3" spans="1:16" ht="30" customHeight="1" x14ac:dyDescent="0.25">
      <c r="A3" s="80" t="s">
        <v>1</v>
      </c>
      <c r="B3" s="174"/>
      <c r="C3" s="174"/>
      <c r="D3" s="182"/>
      <c r="E3" s="182"/>
      <c r="F3" s="44" t="s">
        <v>2</v>
      </c>
      <c r="G3" s="72"/>
      <c r="H3" s="42" t="s">
        <v>57</v>
      </c>
      <c r="I3" s="43" t="s">
        <v>5</v>
      </c>
      <c r="J3" s="81">
        <v>45292</v>
      </c>
      <c r="M3" s="45"/>
      <c r="N3" s="65"/>
      <c r="O3" s="65"/>
      <c r="P3" s="46"/>
    </row>
    <row r="4" spans="1:16" ht="7.5" customHeight="1" thickBot="1" x14ac:dyDescent="0.35">
      <c r="A4" s="179"/>
      <c r="B4" s="180"/>
      <c r="C4" s="180"/>
      <c r="D4" s="180"/>
      <c r="E4" s="180"/>
      <c r="F4" s="180"/>
      <c r="G4" s="180"/>
      <c r="H4" s="180"/>
      <c r="I4" s="180"/>
      <c r="J4" s="181"/>
      <c r="M4" s="45"/>
      <c r="N4" s="65"/>
      <c r="O4" s="65"/>
      <c r="P4" s="46"/>
    </row>
    <row r="5" spans="1:16" s="6" customFormat="1" ht="22" customHeight="1" x14ac:dyDescent="0.25">
      <c r="A5" s="27" t="s">
        <v>13</v>
      </c>
      <c r="B5" s="71"/>
      <c r="C5" s="71"/>
      <c r="D5" s="71"/>
      <c r="E5" s="71"/>
      <c r="F5" s="71" t="s">
        <v>41</v>
      </c>
      <c r="G5" s="71"/>
      <c r="H5" s="71"/>
      <c r="I5" s="71" t="s">
        <v>3</v>
      </c>
      <c r="J5" s="28">
        <v>0.35</v>
      </c>
      <c r="M5" s="47"/>
      <c r="N5" s="66"/>
      <c r="O5" s="66"/>
      <c r="P5" s="48"/>
    </row>
    <row r="6" spans="1:16" ht="22" customHeight="1" x14ac:dyDescent="0.25">
      <c r="A6" s="24" t="s">
        <v>31</v>
      </c>
      <c r="B6" s="8" t="s">
        <v>9</v>
      </c>
      <c r="C6" s="166" t="s">
        <v>8</v>
      </c>
      <c r="D6" s="166"/>
      <c r="E6" s="166"/>
      <c r="F6" s="166"/>
      <c r="G6" s="68" t="s">
        <v>32</v>
      </c>
      <c r="H6" s="68" t="s">
        <v>33</v>
      </c>
      <c r="I6" s="68" t="s">
        <v>7</v>
      </c>
      <c r="J6" s="25" t="s">
        <v>0</v>
      </c>
      <c r="M6" s="45"/>
      <c r="N6" s="65"/>
      <c r="O6" s="65"/>
      <c r="P6" s="46"/>
    </row>
    <row r="7" spans="1:16" ht="22" customHeight="1" thickBot="1" x14ac:dyDescent="0.3">
      <c r="A7" s="26"/>
      <c r="B7" s="39"/>
      <c r="C7" s="167"/>
      <c r="D7" s="168"/>
      <c r="E7" s="168"/>
      <c r="F7" s="169"/>
      <c r="G7" s="16"/>
      <c r="H7" s="16"/>
      <c r="I7" s="69"/>
      <c r="J7" s="29"/>
      <c r="M7" s="49"/>
      <c r="N7" s="50"/>
      <c r="O7" s="50"/>
      <c r="P7" s="51"/>
    </row>
    <row r="8" spans="1:16" ht="22" customHeight="1" x14ac:dyDescent="0.25">
      <c r="A8" s="26"/>
      <c r="B8" s="39"/>
      <c r="C8" s="167"/>
      <c r="D8" s="168"/>
      <c r="E8" s="168"/>
      <c r="F8" s="169"/>
      <c r="G8" s="16"/>
      <c r="H8" s="16"/>
      <c r="I8" s="69"/>
      <c r="J8" s="29"/>
    </row>
    <row r="9" spans="1:16" ht="22" customHeight="1" x14ac:dyDescent="0.25">
      <c r="A9" s="26"/>
      <c r="B9" s="39"/>
      <c r="C9" s="167"/>
      <c r="D9" s="168"/>
      <c r="E9" s="168"/>
      <c r="F9" s="169"/>
      <c r="G9" s="16"/>
      <c r="H9" s="16"/>
      <c r="I9" s="16"/>
      <c r="J9" s="29"/>
    </row>
    <row r="10" spans="1:16" ht="15" customHeight="1" thickBot="1" x14ac:dyDescent="0.3">
      <c r="A10" s="40"/>
      <c r="B10" s="70"/>
      <c r="C10" s="153"/>
      <c r="D10" s="154"/>
      <c r="E10" s="154"/>
      <c r="F10" s="155"/>
      <c r="G10" s="32"/>
      <c r="H10" s="32"/>
      <c r="I10" s="32"/>
      <c r="J10" s="33" t="str">
        <f>IF(I10&lt;&gt;"",I10*$J$5,"")</f>
        <v/>
      </c>
    </row>
    <row r="11" spans="1:16" s="11" customFormat="1" ht="23.15" customHeight="1" thickBot="1" x14ac:dyDescent="0.4">
      <c r="A11" s="95" t="s">
        <v>10</v>
      </c>
      <c r="B11" s="156"/>
      <c r="C11" s="156"/>
      <c r="D11" s="156"/>
      <c r="E11" s="156"/>
      <c r="F11" s="156"/>
      <c r="G11" s="156"/>
      <c r="H11" s="156"/>
      <c r="I11" s="156"/>
      <c r="J11" s="22">
        <f>SUM(J7:J10)</f>
        <v>0</v>
      </c>
    </row>
    <row r="12" spans="1:16" s="7" customFormat="1" ht="22" customHeight="1" x14ac:dyDescent="0.25">
      <c r="A12" s="157" t="s">
        <v>43</v>
      </c>
      <c r="B12" s="158"/>
      <c r="C12" s="158"/>
      <c r="D12" s="158"/>
      <c r="E12" s="158"/>
      <c r="F12" s="158"/>
      <c r="G12" s="158"/>
      <c r="H12" s="158"/>
      <c r="I12" s="158"/>
      <c r="J12" s="159"/>
    </row>
    <row r="13" spans="1:16" s="11" customFormat="1" ht="30.75" customHeight="1" x14ac:dyDescent="0.35">
      <c r="A13" s="24" t="s">
        <v>45</v>
      </c>
      <c r="B13" s="8" t="s">
        <v>9</v>
      </c>
      <c r="C13" s="41" t="s">
        <v>53</v>
      </c>
      <c r="D13" s="87" t="s">
        <v>15</v>
      </c>
      <c r="E13" s="88"/>
      <c r="F13" s="89"/>
      <c r="G13" s="9" t="s">
        <v>39</v>
      </c>
      <c r="H13" s="10" t="s">
        <v>40</v>
      </c>
      <c r="I13" s="68" t="s">
        <v>14</v>
      </c>
      <c r="J13" s="25" t="s">
        <v>38</v>
      </c>
    </row>
    <row r="14" spans="1:16" ht="22.5" customHeight="1" x14ac:dyDescent="0.25">
      <c r="A14" s="54"/>
      <c r="B14" s="55"/>
      <c r="C14" s="67"/>
      <c r="D14" s="160"/>
      <c r="E14" s="161"/>
      <c r="F14" s="162"/>
      <c r="G14" s="57"/>
      <c r="H14" s="57"/>
      <c r="I14" s="57"/>
      <c r="J14" s="58">
        <f>I14+G14</f>
        <v>0</v>
      </c>
    </row>
    <row r="15" spans="1:16" ht="22.5" customHeight="1" x14ac:dyDescent="0.25">
      <c r="A15" s="54"/>
      <c r="B15" s="55"/>
      <c r="C15" s="67"/>
      <c r="D15" s="160"/>
      <c r="E15" s="161"/>
      <c r="F15" s="162"/>
      <c r="G15" s="57"/>
      <c r="H15" s="57"/>
      <c r="I15" s="57"/>
      <c r="J15" s="58">
        <f>I15+G15</f>
        <v>0</v>
      </c>
    </row>
    <row r="16" spans="1:16" ht="22.5" customHeight="1" x14ac:dyDescent="0.25">
      <c r="A16" s="54"/>
      <c r="B16" s="55"/>
      <c r="C16" s="67"/>
      <c r="D16" s="160"/>
      <c r="E16" s="161"/>
      <c r="F16" s="162"/>
      <c r="G16" s="57"/>
      <c r="H16" s="57"/>
      <c r="I16" s="57"/>
      <c r="J16" s="58">
        <f t="shared" ref="J16:J20" si="0">I16+G16</f>
        <v>0</v>
      </c>
      <c r="K16" s="15"/>
    </row>
    <row r="17" spans="1:11" ht="22.5" customHeight="1" x14ac:dyDescent="0.25">
      <c r="A17" s="54"/>
      <c r="B17" s="55"/>
      <c r="C17" s="67"/>
      <c r="D17" s="160"/>
      <c r="E17" s="161"/>
      <c r="F17" s="162"/>
      <c r="G17" s="57"/>
      <c r="H17" s="57"/>
      <c r="I17" s="57"/>
      <c r="J17" s="58">
        <f t="shared" si="0"/>
        <v>0</v>
      </c>
    </row>
    <row r="18" spans="1:11" ht="22.5" customHeight="1" x14ac:dyDescent="0.25">
      <c r="A18" s="54"/>
      <c r="B18" s="55"/>
      <c r="C18" s="67"/>
      <c r="D18" s="160"/>
      <c r="E18" s="161"/>
      <c r="F18" s="162"/>
      <c r="G18" s="57"/>
      <c r="H18" s="57"/>
      <c r="I18" s="57"/>
      <c r="J18" s="58">
        <f t="shared" si="0"/>
        <v>0</v>
      </c>
      <c r="K18" s="15"/>
    </row>
    <row r="19" spans="1:11" ht="22.5" customHeight="1" x14ac:dyDescent="0.25">
      <c r="A19" s="54"/>
      <c r="B19" s="55"/>
      <c r="C19" s="67"/>
      <c r="D19" s="160"/>
      <c r="E19" s="161"/>
      <c r="F19" s="162"/>
      <c r="G19" s="57"/>
      <c r="H19" s="57"/>
      <c r="I19" s="57"/>
      <c r="J19" s="58">
        <f t="shared" si="0"/>
        <v>0</v>
      </c>
      <c r="K19" s="15"/>
    </row>
    <row r="20" spans="1:11" ht="22.5" customHeight="1" x14ac:dyDescent="0.25">
      <c r="A20" s="54"/>
      <c r="B20" s="55"/>
      <c r="C20" s="67"/>
      <c r="D20" s="160"/>
      <c r="E20" s="160"/>
      <c r="F20" s="165"/>
      <c r="G20" s="57"/>
      <c r="H20" s="57"/>
      <c r="I20" s="57"/>
      <c r="J20" s="58">
        <f t="shared" si="0"/>
        <v>0</v>
      </c>
      <c r="K20" s="15"/>
    </row>
    <row r="21" spans="1:11" ht="22.5" customHeight="1" x14ac:dyDescent="0.25">
      <c r="A21" s="54"/>
      <c r="B21" s="55"/>
      <c r="C21" s="67"/>
      <c r="D21" s="160"/>
      <c r="E21" s="160"/>
      <c r="F21" s="165"/>
      <c r="G21" s="57"/>
      <c r="H21" s="57"/>
      <c r="I21" s="57"/>
      <c r="J21" s="58">
        <f t="shared" ref="J21:J24" si="1">I21+G21</f>
        <v>0</v>
      </c>
      <c r="K21" s="15"/>
    </row>
    <row r="22" spans="1:11" ht="22.5" customHeight="1" x14ac:dyDescent="0.25">
      <c r="A22" s="54"/>
      <c r="B22" s="55"/>
      <c r="C22" s="67"/>
      <c r="D22" s="160"/>
      <c r="E22" s="160"/>
      <c r="F22" s="165"/>
      <c r="G22" s="57"/>
      <c r="H22" s="57"/>
      <c r="I22" s="57"/>
      <c r="J22" s="58">
        <f t="shared" si="1"/>
        <v>0</v>
      </c>
      <c r="K22" s="15"/>
    </row>
    <row r="23" spans="1:11" ht="22.5" customHeight="1" x14ac:dyDescent="0.25">
      <c r="A23" s="54"/>
      <c r="B23" s="55"/>
      <c r="C23" s="67"/>
      <c r="D23" s="160"/>
      <c r="E23" s="160"/>
      <c r="F23" s="165"/>
      <c r="G23" s="57"/>
      <c r="H23" s="57"/>
      <c r="I23" s="57"/>
      <c r="J23" s="58">
        <f t="shared" si="1"/>
        <v>0</v>
      </c>
      <c r="K23" s="15"/>
    </row>
    <row r="24" spans="1:11" ht="22.5" customHeight="1" x14ac:dyDescent="0.25">
      <c r="A24" s="54"/>
      <c r="B24" s="55"/>
      <c r="C24" s="56"/>
      <c r="D24" s="161"/>
      <c r="E24" s="161"/>
      <c r="F24" s="162"/>
      <c r="G24" s="57"/>
      <c r="H24" s="57"/>
      <c r="I24" s="57"/>
      <c r="J24" s="58">
        <f t="shared" si="1"/>
        <v>0</v>
      </c>
      <c r="K24" s="15"/>
    </row>
    <row r="25" spans="1:11" ht="22.5" customHeight="1" thickBot="1" x14ac:dyDescent="0.3">
      <c r="A25" s="59"/>
      <c r="B25" s="60"/>
      <c r="C25" s="61"/>
      <c r="D25" s="163"/>
      <c r="E25" s="163"/>
      <c r="F25" s="164"/>
      <c r="G25" s="62"/>
      <c r="H25" s="62"/>
      <c r="I25" s="62"/>
      <c r="J25" s="63"/>
    </row>
    <row r="26" spans="1:11" ht="23.25" customHeight="1" thickBot="1" x14ac:dyDescent="0.3">
      <c r="A26" s="95" t="s">
        <v>11</v>
      </c>
      <c r="B26" s="96"/>
      <c r="C26" s="96"/>
      <c r="D26" s="96"/>
      <c r="E26" s="96"/>
      <c r="F26" s="96"/>
      <c r="G26" s="23">
        <f>SUM(G14:G25)</f>
        <v>0</v>
      </c>
      <c r="H26" s="23">
        <f>SUM(H14:H25)</f>
        <v>0</v>
      </c>
      <c r="I26" s="23">
        <f>SUM(I14:I25)</f>
        <v>0</v>
      </c>
      <c r="J26" s="22">
        <f>SUM(J14:J25)</f>
        <v>0</v>
      </c>
    </row>
    <row r="27" spans="1:11" ht="22" customHeight="1" x14ac:dyDescent="0.25">
      <c r="A27" s="93" t="s">
        <v>44</v>
      </c>
      <c r="B27" s="94"/>
      <c r="C27" s="94"/>
      <c r="D27" s="94"/>
      <c r="E27" s="94"/>
      <c r="F27" s="94"/>
      <c r="G27" s="94"/>
      <c r="H27" s="34" t="s">
        <v>49</v>
      </c>
      <c r="I27" s="35" t="s">
        <v>50</v>
      </c>
      <c r="J27" s="36"/>
    </row>
    <row r="28" spans="1:11" ht="30" customHeight="1" x14ac:dyDescent="0.25">
      <c r="A28" s="24" t="s">
        <v>45</v>
      </c>
      <c r="B28" s="8" t="s">
        <v>9</v>
      </c>
      <c r="C28" s="41" t="s">
        <v>53</v>
      </c>
      <c r="D28" s="87" t="s">
        <v>15</v>
      </c>
      <c r="E28" s="88"/>
      <c r="F28" s="89"/>
      <c r="G28" s="9" t="s">
        <v>47</v>
      </c>
      <c r="H28" s="52" t="s">
        <v>54</v>
      </c>
      <c r="I28" s="18" t="s">
        <v>46</v>
      </c>
      <c r="J28" s="25" t="s">
        <v>48</v>
      </c>
    </row>
    <row r="29" spans="1:11" ht="23.25" customHeight="1" x14ac:dyDescent="0.25">
      <c r="A29" s="73"/>
      <c r="B29" s="74"/>
      <c r="C29" s="75"/>
      <c r="D29" s="103"/>
      <c r="E29" s="103"/>
      <c r="F29" s="104"/>
      <c r="G29" s="19"/>
      <c r="H29" s="19"/>
      <c r="I29" s="69"/>
      <c r="J29" s="29">
        <f>(G29+H29)*I29</f>
        <v>0</v>
      </c>
    </row>
    <row r="30" spans="1:11" ht="23.25" customHeight="1" x14ac:dyDescent="0.25">
      <c r="A30" s="73"/>
      <c r="B30" s="74"/>
      <c r="C30" s="76"/>
      <c r="D30" s="105"/>
      <c r="E30" s="105"/>
      <c r="F30" s="106"/>
      <c r="G30" s="19"/>
      <c r="H30" s="19"/>
      <c r="I30" s="69"/>
      <c r="J30" s="29">
        <f t="shared" ref="J30:J36" si="2">(G30+H30)*I30</f>
        <v>0</v>
      </c>
    </row>
    <row r="31" spans="1:11" ht="23.25" customHeight="1" x14ac:dyDescent="0.25">
      <c r="A31" s="73"/>
      <c r="B31" s="74"/>
      <c r="C31" s="76"/>
      <c r="D31" s="105"/>
      <c r="E31" s="105"/>
      <c r="F31" s="106"/>
      <c r="G31" s="19"/>
      <c r="H31" s="19"/>
      <c r="I31" s="69"/>
      <c r="J31" s="29">
        <f t="shared" si="2"/>
        <v>0</v>
      </c>
    </row>
    <row r="32" spans="1:11" ht="23.25" customHeight="1" x14ac:dyDescent="0.25">
      <c r="A32" s="73"/>
      <c r="B32" s="74"/>
      <c r="C32" s="76"/>
      <c r="D32" s="105"/>
      <c r="E32" s="105"/>
      <c r="F32" s="106"/>
      <c r="G32" s="19"/>
      <c r="H32" s="19"/>
      <c r="I32" s="69"/>
      <c r="J32" s="29">
        <f t="shared" si="2"/>
        <v>0</v>
      </c>
    </row>
    <row r="33" spans="1:12" ht="23.25" customHeight="1" x14ac:dyDescent="0.25">
      <c r="A33" s="73"/>
      <c r="B33" s="74"/>
      <c r="C33" s="76"/>
      <c r="D33" s="105"/>
      <c r="E33" s="105"/>
      <c r="F33" s="106"/>
      <c r="G33" s="19"/>
      <c r="H33" s="19"/>
      <c r="I33" s="69"/>
      <c r="J33" s="29">
        <f t="shared" si="2"/>
        <v>0</v>
      </c>
    </row>
    <row r="34" spans="1:12" ht="23.25" customHeight="1" x14ac:dyDescent="0.25">
      <c r="A34" s="73"/>
      <c r="B34" s="74"/>
      <c r="C34" s="76"/>
      <c r="D34" s="105"/>
      <c r="E34" s="105"/>
      <c r="F34" s="106"/>
      <c r="G34" s="19"/>
      <c r="H34" s="19"/>
      <c r="I34" s="69"/>
      <c r="J34" s="29">
        <f t="shared" si="2"/>
        <v>0</v>
      </c>
    </row>
    <row r="35" spans="1:12" ht="23.25" customHeight="1" x14ac:dyDescent="0.25">
      <c r="A35" s="26"/>
      <c r="B35" s="17"/>
      <c r="C35" s="53"/>
      <c r="D35" s="110"/>
      <c r="E35" s="110"/>
      <c r="F35" s="111"/>
      <c r="G35" s="19"/>
      <c r="H35" s="19"/>
      <c r="I35" s="69"/>
      <c r="J35" s="29">
        <f t="shared" si="2"/>
        <v>0</v>
      </c>
      <c r="L35" s="6"/>
    </row>
    <row r="36" spans="1:12" ht="23.25" customHeight="1" x14ac:dyDescent="0.25">
      <c r="A36" s="26"/>
      <c r="B36" s="17"/>
      <c r="C36" s="53"/>
      <c r="D36" s="110"/>
      <c r="E36" s="110"/>
      <c r="F36" s="111"/>
      <c r="G36" s="19"/>
      <c r="H36" s="19"/>
      <c r="I36" s="69"/>
      <c r="J36" s="29">
        <f t="shared" si="2"/>
        <v>0</v>
      </c>
    </row>
    <row r="37" spans="1:12" ht="5.25" customHeight="1" thickBot="1" x14ac:dyDescent="0.3">
      <c r="A37" s="30"/>
      <c r="B37" s="31"/>
      <c r="C37" s="107"/>
      <c r="D37" s="108"/>
      <c r="E37" s="108"/>
      <c r="F37" s="109"/>
      <c r="G37" s="37"/>
      <c r="H37" s="37"/>
      <c r="I37" s="32"/>
      <c r="J37" s="33" t="str">
        <f>IF(I37&lt;&gt;"",I37*$J$5,"")</f>
        <v/>
      </c>
    </row>
    <row r="38" spans="1:12" ht="23.15" customHeight="1" thickBot="1" x14ac:dyDescent="0.3">
      <c r="A38" s="95" t="s">
        <v>51</v>
      </c>
      <c r="B38" s="96"/>
      <c r="C38" s="96"/>
      <c r="D38" s="96"/>
      <c r="E38" s="96"/>
      <c r="F38" s="96"/>
      <c r="G38" s="20">
        <f>SUM(G29:G36)</f>
        <v>0</v>
      </c>
      <c r="H38" s="20">
        <f>SUM(H29:H36)</f>
        <v>0</v>
      </c>
      <c r="I38" s="21"/>
      <c r="J38" s="22">
        <f>SUM(J29:J36)</f>
        <v>0</v>
      </c>
    </row>
    <row r="39" spans="1:12" ht="9.75" customHeight="1" x14ac:dyDescent="0.25">
      <c r="A39" s="128" t="s">
        <v>4</v>
      </c>
      <c r="B39" s="129"/>
      <c r="C39" s="129"/>
      <c r="D39" s="129"/>
      <c r="E39" s="129"/>
      <c r="F39" s="130"/>
      <c r="G39" s="97" t="s">
        <v>37</v>
      </c>
      <c r="H39" s="98"/>
      <c r="I39" s="98"/>
      <c r="J39" s="99"/>
    </row>
    <row r="40" spans="1:12" ht="9.75" customHeight="1" x14ac:dyDescent="0.25">
      <c r="A40" s="128"/>
      <c r="B40" s="129"/>
      <c r="C40" s="129"/>
      <c r="D40" s="129"/>
      <c r="E40" s="129"/>
      <c r="F40" s="130"/>
      <c r="G40" s="100"/>
      <c r="H40" s="101"/>
      <c r="I40" s="101"/>
      <c r="J40" s="102"/>
    </row>
    <row r="41" spans="1:12" ht="12.75" customHeight="1" x14ac:dyDescent="0.3">
      <c r="A41" s="131"/>
      <c r="B41" s="132"/>
      <c r="C41" s="132"/>
      <c r="D41" s="132"/>
      <c r="E41" s="132"/>
      <c r="F41" s="133"/>
      <c r="G41" s="126" t="s">
        <v>36</v>
      </c>
      <c r="H41" s="127"/>
      <c r="I41" s="148" t="s">
        <v>6</v>
      </c>
      <c r="J41" s="149"/>
    </row>
    <row r="42" spans="1:12" ht="18.75" customHeight="1" x14ac:dyDescent="0.35">
      <c r="A42" s="142" t="s">
        <v>52</v>
      </c>
      <c r="B42" s="143"/>
      <c r="C42" s="143"/>
      <c r="D42" s="144"/>
      <c r="E42" s="145">
        <f>J11+J38+J26</f>
        <v>0</v>
      </c>
      <c r="F42" s="125"/>
      <c r="G42" s="12" t="s">
        <v>9</v>
      </c>
      <c r="H42" s="38">
        <v>44682</v>
      </c>
      <c r="I42" s="12" t="s">
        <v>9</v>
      </c>
      <c r="J42" s="82"/>
    </row>
    <row r="43" spans="1:12" ht="15" customHeight="1" x14ac:dyDescent="0.25">
      <c r="A43" s="119"/>
      <c r="B43" s="120"/>
      <c r="C43" s="120"/>
      <c r="D43" s="121"/>
      <c r="E43" s="146"/>
      <c r="F43" s="147"/>
      <c r="G43" s="150"/>
      <c r="H43" s="151"/>
      <c r="I43" s="150"/>
      <c r="J43" s="152"/>
    </row>
    <row r="44" spans="1:12" x14ac:dyDescent="0.25">
      <c r="A44" s="116" t="s">
        <v>34</v>
      </c>
      <c r="B44" s="117"/>
      <c r="C44" s="117"/>
      <c r="D44" s="118"/>
      <c r="E44" s="122">
        <v>0</v>
      </c>
      <c r="F44" s="123"/>
      <c r="G44" s="90"/>
      <c r="H44" s="91"/>
      <c r="I44" s="90"/>
      <c r="J44" s="92"/>
    </row>
    <row r="45" spans="1:12" ht="15.75" customHeight="1" x14ac:dyDescent="0.25">
      <c r="A45" s="119"/>
      <c r="B45" s="120"/>
      <c r="C45" s="120"/>
      <c r="D45" s="121"/>
      <c r="E45" s="124"/>
      <c r="F45" s="125"/>
      <c r="G45" s="13" t="s">
        <v>12</v>
      </c>
      <c r="H45" s="14"/>
      <c r="I45" s="13" t="s">
        <v>12</v>
      </c>
      <c r="J45" s="46"/>
    </row>
    <row r="46" spans="1:12" ht="12.75" customHeight="1" x14ac:dyDescent="0.25">
      <c r="A46" s="134" t="s">
        <v>35</v>
      </c>
      <c r="B46" s="135"/>
      <c r="C46" s="135"/>
      <c r="D46" s="136"/>
      <c r="E46" s="122">
        <f>E42-E44</f>
        <v>0</v>
      </c>
      <c r="F46" s="123"/>
      <c r="G46" s="90"/>
      <c r="H46" s="91"/>
      <c r="I46" s="90"/>
      <c r="J46" s="92"/>
    </row>
    <row r="47" spans="1:12" ht="13" thickBot="1" x14ac:dyDescent="0.3">
      <c r="A47" s="137"/>
      <c r="B47" s="138"/>
      <c r="C47" s="138"/>
      <c r="D47" s="139"/>
      <c r="E47" s="140"/>
      <c r="F47" s="141"/>
      <c r="G47" s="112"/>
      <c r="H47" s="113"/>
      <c r="I47" s="114"/>
      <c r="J47" s="115"/>
    </row>
  </sheetData>
  <mergeCells count="58">
    <mergeCell ref="I1:J1"/>
    <mergeCell ref="I2:J2"/>
    <mergeCell ref="B3:C3"/>
    <mergeCell ref="E1:H2"/>
    <mergeCell ref="A4:J4"/>
    <mergeCell ref="D3:E3"/>
    <mergeCell ref="C6:F6"/>
    <mergeCell ref="C7:F7"/>
    <mergeCell ref="C8:F8"/>
    <mergeCell ref="C9:F9"/>
    <mergeCell ref="D15:F15"/>
    <mergeCell ref="D35:F35"/>
    <mergeCell ref="C10:F10"/>
    <mergeCell ref="A11:I11"/>
    <mergeCell ref="A12:J12"/>
    <mergeCell ref="D14:F14"/>
    <mergeCell ref="D16:F16"/>
    <mergeCell ref="D17:F17"/>
    <mergeCell ref="D18:F18"/>
    <mergeCell ref="D34:F34"/>
    <mergeCell ref="D24:F24"/>
    <mergeCell ref="D25:F25"/>
    <mergeCell ref="D19:F19"/>
    <mergeCell ref="D20:F20"/>
    <mergeCell ref="D21:F21"/>
    <mergeCell ref="D22:F22"/>
    <mergeCell ref="D23:F23"/>
    <mergeCell ref="G47:H47"/>
    <mergeCell ref="I47:J47"/>
    <mergeCell ref="A44:D45"/>
    <mergeCell ref="E44:F45"/>
    <mergeCell ref="G41:H41"/>
    <mergeCell ref="A39:F41"/>
    <mergeCell ref="A46:D47"/>
    <mergeCell ref="E46:F47"/>
    <mergeCell ref="G44:H44"/>
    <mergeCell ref="I44:J44"/>
    <mergeCell ref="A42:D43"/>
    <mergeCell ref="E42:F43"/>
    <mergeCell ref="I41:J41"/>
    <mergeCell ref="G43:H43"/>
    <mergeCell ref="I43:J43"/>
    <mergeCell ref="M1:P1"/>
    <mergeCell ref="D13:F13"/>
    <mergeCell ref="G46:H46"/>
    <mergeCell ref="I46:J46"/>
    <mergeCell ref="A27:G27"/>
    <mergeCell ref="A26:F26"/>
    <mergeCell ref="G39:J40"/>
    <mergeCell ref="A38:F38"/>
    <mergeCell ref="D29:F29"/>
    <mergeCell ref="D30:F30"/>
    <mergeCell ref="D28:F28"/>
    <mergeCell ref="D31:F31"/>
    <mergeCell ref="D32:F32"/>
    <mergeCell ref="C37:F37"/>
    <mergeCell ref="D36:F36"/>
    <mergeCell ref="D33:F33"/>
  </mergeCells>
  <phoneticPr fontId="24" type="noConversion"/>
  <pageMargins left="0.31496062992125984" right="0.15748031496062992" top="0.19685039370078741" bottom="0" header="0" footer="0"/>
  <pageSetup paperSize="9" scale="76" orientation="portrait" r:id="rId1"/>
  <headerFooter>
    <oddFooter>&amp;C&amp;8 &amp;R&amp;"Arial,Normal"&amp;10&amp;K09357A Framatome ARC - Formulaire provisoire - 16/05/2022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C19"/>
  <sheetViews>
    <sheetView workbookViewId="0">
      <selection activeCell="C20" sqref="C20"/>
    </sheetView>
  </sheetViews>
  <sheetFormatPr baseColWidth="10" defaultRowHeight="15.5" x14ac:dyDescent="0.35"/>
  <cols>
    <col min="1" max="2" width="11" customWidth="1"/>
    <col min="3" max="3" width="59.58203125" customWidth="1"/>
  </cols>
  <sheetData>
    <row r="2" spans="3:3" x14ac:dyDescent="0.35">
      <c r="C2" s="1" t="s">
        <v>16</v>
      </c>
    </row>
    <row r="3" spans="3:3" x14ac:dyDescent="0.35">
      <c r="C3" s="2"/>
    </row>
    <row r="4" spans="3:3" x14ac:dyDescent="0.35">
      <c r="C4" s="2" t="s">
        <v>17</v>
      </c>
    </row>
    <row r="5" spans="3:3" x14ac:dyDescent="0.35">
      <c r="C5" s="3" t="s">
        <v>18</v>
      </c>
    </row>
    <row r="6" spans="3:3" x14ac:dyDescent="0.35">
      <c r="C6" s="3" t="s">
        <v>19</v>
      </c>
    </row>
    <row r="7" spans="3:3" x14ac:dyDescent="0.35">
      <c r="C7" s="3" t="s">
        <v>20</v>
      </c>
    </row>
    <row r="8" spans="3:3" x14ac:dyDescent="0.35">
      <c r="C8" s="3" t="s">
        <v>21</v>
      </c>
    </row>
    <row r="9" spans="3:3" x14ac:dyDescent="0.35">
      <c r="C9" s="3" t="s">
        <v>22</v>
      </c>
    </row>
    <row r="10" spans="3:3" x14ac:dyDescent="0.35">
      <c r="C10" s="3" t="s">
        <v>23</v>
      </c>
    </row>
    <row r="11" spans="3:3" x14ac:dyDescent="0.35">
      <c r="C11" s="3" t="s">
        <v>24</v>
      </c>
    </row>
    <row r="12" spans="3:3" x14ac:dyDescent="0.35">
      <c r="C12" s="3" t="s">
        <v>25</v>
      </c>
    </row>
    <row r="13" spans="3:3" x14ac:dyDescent="0.35">
      <c r="C13" s="3" t="s">
        <v>26</v>
      </c>
    </row>
    <row r="14" spans="3:3" x14ac:dyDescent="0.35">
      <c r="C14" s="3" t="s">
        <v>27</v>
      </c>
    </row>
    <row r="15" spans="3:3" x14ac:dyDescent="0.35">
      <c r="C15" s="3" t="s">
        <v>28</v>
      </c>
    </row>
    <row r="16" spans="3:3" x14ac:dyDescent="0.35">
      <c r="C16" s="3" t="s">
        <v>29</v>
      </c>
    </row>
    <row r="17" spans="3:3" x14ac:dyDescent="0.35">
      <c r="C17" s="3" t="s">
        <v>30</v>
      </c>
    </row>
    <row r="18" spans="3:3" x14ac:dyDescent="0.35">
      <c r="C18" s="4"/>
    </row>
    <row r="19" spans="3:3" x14ac:dyDescent="0.35">
      <c r="C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FRF_GEF</vt:lpstr>
      <vt:lpstr>Liste</vt:lpstr>
      <vt:lpstr>FRF_GEF!Zone_d_impression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Guislaine Mace</dc:creator>
  <cp:lastModifiedBy>LE COADOU Lucie (FRA-IB)</cp:lastModifiedBy>
  <cp:lastPrinted>2022-05-16T10:11:20Z</cp:lastPrinted>
  <dcterms:created xsi:type="dcterms:W3CDTF">2011-03-28T06:47:02Z</dcterms:created>
  <dcterms:modified xsi:type="dcterms:W3CDTF">2024-01-30T13:56:58Z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5fb373-fd5c-41cb-a095-c2ac5cc1d969_Enabled">
    <vt:lpwstr>true</vt:lpwstr>
  </property>
  <property fmtid="{D5CDD505-2E9C-101B-9397-08002B2CF9AE}" pid="3" name="MSIP_Label_705fb373-fd5c-41cb-a095-c2ac5cc1d969_SetDate">
    <vt:lpwstr>2023-12-05T14:41:24Z</vt:lpwstr>
  </property>
  <property fmtid="{D5CDD505-2E9C-101B-9397-08002B2CF9AE}" pid="4" name="MSIP_Label_705fb373-fd5c-41cb-a095-c2ac5cc1d969_Method">
    <vt:lpwstr>Privileged</vt:lpwstr>
  </property>
  <property fmtid="{D5CDD505-2E9C-101B-9397-08002B2CF9AE}" pid="5" name="MSIP_Label_705fb373-fd5c-41cb-a095-c2ac5cc1d969_Name">
    <vt:lpwstr>C0-Nomarking</vt:lpwstr>
  </property>
  <property fmtid="{D5CDD505-2E9C-101B-9397-08002B2CF9AE}" pid="6" name="MSIP_Label_705fb373-fd5c-41cb-a095-c2ac5cc1d969_SiteId">
    <vt:lpwstr>152f9b3b-87f6-4551-b359-dc2527d190be</vt:lpwstr>
  </property>
  <property fmtid="{D5CDD505-2E9C-101B-9397-08002B2CF9AE}" pid="7" name="MSIP_Label_705fb373-fd5c-41cb-a095-c2ac5cc1d969_ActionId">
    <vt:lpwstr>cd26a009-4bd6-442d-b253-5995ef482312</vt:lpwstr>
  </property>
  <property fmtid="{D5CDD505-2E9C-101B-9397-08002B2CF9AE}" pid="8" name="MSIP_Label_705fb373-fd5c-41cb-a095-c2ac5cc1d969_ContentBits">
    <vt:lpwstr>0</vt:lpwstr>
  </property>
</Properties>
</file>